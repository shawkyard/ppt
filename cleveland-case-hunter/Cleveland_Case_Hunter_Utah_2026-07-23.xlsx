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Lead Pipeline" sheetId="2" state="visible" r:id="rId2"/>
    <sheet name="Score Breakdown" sheetId="3" state="visible" r:id="rId3"/>
    <sheet name="XChange Work Queue" sheetId="4" state="visible" r:id="rId4"/>
    <sheet name="Do Not Contact &amp; Signals" sheetId="5" state="visible" r:id="rId5"/>
  </sheets>
  <definedNames>
    <definedName name="_xlnm._FilterDatabase" localSheetId="1" hidden="1">'Lead Pipeline'!$A$4:$U$11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b val="1"/>
      <sz val="9"/>
    </font>
    <font>
      <name val="Arial"/>
      <b val="1"/>
      <color rgb="009C0006"/>
      <sz val="9"/>
    </font>
    <font>
      <name val="Arial"/>
      <b val="1"/>
      <sz val="10"/>
    </font>
    <font>
      <name val="Arial"/>
      <i val="1"/>
      <color rgb="009C0006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0" pivotButton="0" quotePrefix="0" xfId="0"/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6" customHeight="1">
      <c r="A1" s="1" t="inlineStr">
        <is>
          <t>CLEVELAND SERIOUS CASE HUNTER</t>
        </is>
      </c>
    </row>
    <row r="2" ht="16" customHeight="1">
      <c r="A2" s="2" t="inlineStr">
        <is>
          <t>Utah Daily Opportunity Report — 2026-07-23  |  Prepared for Catherine Cleveland review</t>
        </is>
      </c>
    </row>
    <row r="4" ht="36" customHeight="1">
      <c r="A4" s="3" t="inlineStr">
        <is>
          <t>PURPOSE</t>
        </is>
      </c>
      <c r="B4" s="4" t="inlineStr">
        <is>
          <t>Lead intelligence only. This workbook identifies newly filed / recently arrested Utah serious-felony matters from LAWFUL PUBLIC SOURCES (Utah news, DOJ / U.S. Attorney District of Utah releases, sheriff booking references). It is NOT legal advice and sends NO solicitations.</t>
        </is>
      </c>
    </row>
    <row r="5" ht="30" customHeight="1">
      <c r="A5" s="3" t="inlineStr">
        <is>
          <t>NO XCHANGE AUTOMATION</t>
        </is>
      </c>
      <c r="B5" s="4" t="inlineStr">
        <is>
          <t>Utah XChange was NOT accessed by any automated tool (prohibited by the XChange agreement). Docket-only fields must be confirmed by a human operator — see the 'XChange Work Queue' tab.</t>
        </is>
      </c>
    </row>
    <row r="6" ht="48" customHeight="1">
      <c r="A6" s="3" t="inlineStr">
        <is>
          <t>CREDENTIALS UNVERIFIED</t>
        </is>
      </c>
      <c r="B6" s="4" t="inlineStr">
        <is>
          <t>Catherine's websites (catherine-cleveland.manus.space and utahcriminallawyer.com) returned HTTP 403 and could not be read. Every claim about years of experience, former judicial service, certifications, awards, or results is UNVERIFIED — 'Catherine confirmation required' — and must not be used in outreach until confirmed.</t>
        </is>
      </c>
    </row>
    <row r="7" ht="48" customHeight="1">
      <c r="A7" s="3" t="inlineStr">
        <is>
          <t>NO LEAD IS CONTACT-ELIGIBLE YET</t>
        </is>
      </c>
      <c r="B7" s="4" t="inlineStr">
        <is>
          <t>Representation cannot be confirmed without the docket, so every lead is on HOLD. Before any facts are discussed or any matter accepted: (1) conflict check, (2) confirm representation status, (3) confirm Catherine's availability, (4) Catherine's personal review, (5) confirm the communication complies with Utah ethics rules.</t>
        </is>
      </c>
    </row>
    <row r="8" ht="30" customHeight="1">
      <c r="A8" s="3" t="inlineStr">
        <is>
          <t>PRESUMPTION OF INNOCENCE</t>
        </is>
      </c>
      <c r="B8" s="4" t="inlineStr">
        <is>
          <t>Everyone listed is ACCUSED / CHARGED / ALLEGED — not guilty. Never target victims, witnesses, or family. Never identify or contact a minor; never collect victim information.</t>
        </is>
      </c>
    </row>
    <row r="9" ht="30" customHeight="1">
      <c r="A9" s="3" t="inlineStr">
        <is>
          <t>ANY REPRESENTED PERSON</t>
        </is>
      </c>
      <c r="B9" s="4" t="inlineStr">
        <is>
          <t>Automatically DO NOT CONTACT, regardless of score. Verify counsel before acting on any lead.</t>
        </is>
      </c>
    </row>
    <row r="10" ht="36" customHeight="1">
      <c r="A10" s="3" t="inlineStr">
        <is>
          <t>SCORING</t>
        </is>
      </c>
      <c r="B10" s="4" t="inlineStr">
        <is>
          <t>100-point model: Charge/Practice fit (25) + Urgency (20) + Counsel opportunity (20) + Catherine-fit (15) + Geography (10) + Evidence confidence (5) + Ethical contact feasibility (5). Bands: 90-100 Immediate Review · 80-89 Review Today · 65-79 Develop/Verify · &lt;65 Monitor.</t>
        </is>
      </c>
    </row>
    <row r="11" ht="36" customHeight="1">
      <c r="A11" s="3" t="inlineStr">
        <is>
          <t>HOW TO USE</t>
        </is>
      </c>
      <c r="B11" s="4" t="inlineStr">
        <is>
          <t>Work the 'Lead Pipeline' tab top-down (sorted by score). 'Score Breakdown' shows how each total is built (totals are live formulas). Give the human operator the 'XChange Work Queue' tab. Respect 'Do Not Contact'.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20" customWidth="1" min="3" max="3"/>
    <col width="16" customWidth="1" min="4" max="4"/>
    <col width="22" customWidth="1" min="5" max="5"/>
    <col width="6" customWidth="1" min="6" max="6"/>
    <col width="14" customWidth="1" min="7" max="7"/>
    <col width="20" customWidth="1" min="8" max="8"/>
    <col width="34" customWidth="1" min="9" max="9"/>
    <col width="16" customWidth="1" min="10" max="10"/>
    <col width="20" customWidth="1" min="11" max="11"/>
    <col width="22" customWidth="1" min="12" max="12"/>
    <col width="22" customWidth="1" min="13" max="13"/>
    <col width="16" customWidth="1" min="14" max="14"/>
    <col width="20" customWidth="1" min="15" max="15"/>
    <col width="20" customWidth="1" min="16" max="16"/>
    <col width="30" customWidth="1" min="17" max="17"/>
    <col width="34" customWidth="1" min="18" max="18"/>
    <col width="40" customWidth="1" min="19" max="19"/>
    <col width="26" customWidth="1" min="20" max="20"/>
    <col width="13" customWidth="1" min="21" max="21"/>
  </cols>
  <sheetData>
    <row r="1" ht="26" customHeight="1">
      <c r="A1" s="1" t="inlineStr">
        <is>
          <t>LEAD PIPELINE</t>
        </is>
      </c>
    </row>
    <row r="2" ht="16" customHeight="1">
      <c r="A2" s="2" t="inlineStr">
        <is>
          <t>Sorted by score (high to low). All leads HOLD until representation confirmed and Catherine ethics review clears a lawful pathway.</t>
        </is>
      </c>
    </row>
    <row r="4" ht="30" customHeight="1">
      <c r="A4" s="5" t="inlineStr">
        <is>
          <t>Lead ID</t>
        </is>
      </c>
      <c r="B4" s="5" t="inlineStr">
        <is>
          <t>Score</t>
        </is>
      </c>
      <c r="C4" s="5" t="inlineStr">
        <is>
          <t>Priority Band</t>
        </is>
      </c>
      <c r="D4" s="5" t="inlineStr">
        <is>
          <t>Contact Status</t>
        </is>
      </c>
      <c r="E4" s="5" t="inlineStr">
        <is>
          <t>Defendant (public)</t>
        </is>
      </c>
      <c r="F4" s="5" t="inlineStr">
        <is>
          <t>Age</t>
        </is>
      </c>
      <c r="G4" s="5" t="inlineStr">
        <is>
          <t>City</t>
        </is>
      </c>
      <c r="H4" s="5" t="inlineStr">
        <is>
          <t>County / Court</t>
        </is>
      </c>
      <c r="I4" s="5" t="inlineStr">
        <is>
          <t>Charges</t>
        </is>
      </c>
      <c r="J4" s="5" t="inlineStr">
        <is>
          <t>Top Degree</t>
        </is>
      </c>
      <c r="K4" s="5" t="inlineStr">
        <is>
          <t>Custody</t>
        </is>
      </c>
      <c r="L4" s="5" t="inlineStr">
        <is>
          <t>Next Hearing</t>
        </is>
      </c>
      <c r="M4" s="5" t="inlineStr">
        <is>
          <t>Counsel Status</t>
        </is>
      </c>
      <c r="N4" s="5" t="inlineStr">
        <is>
          <t>Arrest / Incident</t>
        </is>
      </c>
      <c r="O4" s="5" t="inlineStr">
        <is>
          <t>Prosecuting Agency</t>
        </is>
      </c>
      <c r="P4" s="5" t="inlineStr">
        <is>
          <t>Arresting Agency</t>
        </is>
      </c>
      <c r="Q4" s="5" t="inlineStr">
        <is>
          <t>Catherine Fit</t>
        </is>
      </c>
      <c r="R4" s="5" t="inlineStr">
        <is>
          <t>Sensitivity / Risk</t>
        </is>
      </c>
      <c r="S4" s="5" t="inlineStr">
        <is>
          <t>Recommended Next Action</t>
        </is>
      </c>
      <c r="T4" s="5" t="inlineStr">
        <is>
          <t>Source(s)</t>
        </is>
      </c>
      <c r="U4" s="5" t="inlineStr">
        <is>
          <t>Next Check</t>
        </is>
      </c>
    </row>
    <row r="5" ht="66" customHeight="1">
      <c r="A5" s="6" t="inlineStr">
        <is>
          <t>CSH-20260723-01</t>
        </is>
      </c>
      <c r="B5" s="7" t="n">
        <v>87</v>
      </c>
      <c r="C5" s="8" t="inlineStr">
        <is>
          <t>REVIEW TODAY</t>
        </is>
      </c>
      <c r="D5" s="9" t="inlineStr">
        <is>
          <t>HOLD</t>
        </is>
      </c>
      <c r="E5" s="6" t="inlineStr">
        <is>
          <t>NOT captured — verify (Roy-area resident)</t>
        </is>
      </c>
      <c r="F5" s="6" t="inlineStr"/>
      <c r="G5" s="6" t="inlineStr">
        <is>
          <t>Roy</t>
        </is>
      </c>
      <c r="H5" s="6" t="inlineStr">
        <is>
          <t>Weber Co. / 2nd District</t>
        </is>
      </c>
      <c r="I5" s="6" t="inlineStr">
        <is>
          <t>Rape of a child; 2x aggravated sexual abuse of a child</t>
        </is>
      </c>
      <c r="J5" s="6" t="inlineStr">
        <is>
          <t>1st-degree felony</t>
        </is>
      </c>
      <c r="K5" s="6" t="inlineStr">
        <is>
          <t>Held without bail — Weber Co. Jail</t>
        </is>
      </c>
      <c r="L5" s="6" t="inlineStr">
        <is>
          <t>Initial appearance 2026-07-25</t>
        </is>
      </c>
      <c r="M5" s="6" t="inlineStr">
        <is>
          <t>Representation unknown</t>
        </is>
      </c>
      <c r="N5" s="6" t="inlineStr">
        <is>
          <t>~2026-07-21</t>
        </is>
      </c>
      <c r="O5" s="6" t="inlineStr">
        <is>
          <t>Weber Co. Attorney (confirm)</t>
        </is>
      </c>
      <c r="P5" s="6" t="inlineStr">
        <is>
          <t>Weber Co. Sheriff</t>
        </is>
      </c>
      <c r="Q5" s="6" t="inlineStr">
        <is>
          <t>Serious 1st-degree sex-offense defense (practice-area match; experience = confirm)</t>
        </is>
      </c>
      <c r="R5" s="6" t="inlineStr">
        <is>
          <t>HIGH — child family-member victim. Never identify/contact victim. Emotionally charged.</t>
        </is>
      </c>
      <c r="S5" s="6" t="inlineStr">
        <is>
          <t>Operator pulls Weber Co. case: name, case #, charges, COUNSEL at 7/25 hearing. If unrepresented -&gt; Catherine ethics review.</t>
        </is>
      </c>
      <c r="T5" s="6" t="inlineStr">
        <is>
          <t>ABC4 / Yahoo News (2026-07)</t>
        </is>
      </c>
      <c r="U5" s="6" t="inlineStr">
        <is>
          <t>2026-07-25</t>
        </is>
      </c>
    </row>
    <row r="6" ht="66" customHeight="1">
      <c r="A6" s="6" t="inlineStr">
        <is>
          <t>CSH-20260723-02</t>
        </is>
      </c>
      <c r="B6" s="7" t="n">
        <v>72</v>
      </c>
      <c r="C6" s="10" t="inlineStr">
        <is>
          <t>DEVELOP / VERIFY</t>
        </is>
      </c>
      <c r="D6" s="9" t="inlineStr">
        <is>
          <t>HOLD</t>
        </is>
      </c>
      <c r="E6" s="6" t="inlineStr">
        <is>
          <t>Peter Michael Larsen</t>
        </is>
      </c>
      <c r="F6" s="6" t="inlineStr">
        <is>
          <t>48</t>
        </is>
      </c>
      <c r="G6" s="6" t="inlineStr">
        <is>
          <t>Taylorsville</t>
        </is>
      </c>
      <c r="H6" s="6" t="inlineStr">
        <is>
          <t>Salt Lake Co. / 3rd District</t>
        </is>
      </c>
      <c r="I6" s="6" t="inlineStr">
        <is>
          <t>2x attempted aggravated murder; conduct w/ dangerous weapon (hate-crime, habitual-violent-offender notices)</t>
        </is>
      </c>
      <c r="J6" s="6" t="inlineStr">
        <is>
          <t>1st-degree felony</t>
        </is>
      </c>
      <c r="K6" s="6" t="inlineStr">
        <is>
          <t>In custody (confirm bail)</t>
        </is>
      </c>
      <c r="L6" s="6" t="inlineStr">
        <is>
          <t>Not confirmed — arraignment likely imminent</t>
        </is>
      </c>
      <c r="M6" s="6" t="inlineStr">
        <is>
          <t>Representation unknown (likely attaches fast)</t>
        </is>
      </c>
      <c r="N6" s="6" t="inlineStr">
        <is>
          <t>2026-07-13 (charged 07-17)</t>
        </is>
      </c>
      <c r="O6" s="6" t="inlineStr">
        <is>
          <t>Salt Lake Co. DA (Sim Gill)</t>
        </is>
      </c>
      <c r="P6" s="6" t="inlineStr">
        <is>
          <t>West Valley City PD</t>
        </is>
      </c>
      <c r="Q6" s="6" t="inlineStr">
        <is>
          <t>Capital-adjacent violent felony w/ enhancements — strong serious-felony alignment</t>
        </is>
      </c>
      <c r="R6" s="6" t="inlineStr">
        <is>
          <t>High media profile; hate-crime dimension; counsel likely to attach quickly.</t>
        </is>
      </c>
      <c r="S6" s="6" t="inlineStr">
        <is>
          <t>Verify counsel + next hearing TODAY. If represented -&gt; move to Do Not Contact.</t>
        </is>
      </c>
      <c r="T6" s="6" t="inlineStr">
        <is>
          <t>US News/AP; Deseret News; KSL (2026-07-17)</t>
        </is>
      </c>
      <c r="U6" s="6" t="inlineStr">
        <is>
          <t>2026-07-25</t>
        </is>
      </c>
    </row>
    <row r="7" ht="66" customHeight="1">
      <c r="A7" s="6" t="inlineStr">
        <is>
          <t>CSH-20260723-03a</t>
        </is>
      </c>
      <c r="B7" s="7" t="n">
        <v>72</v>
      </c>
      <c r="C7" s="10" t="inlineStr">
        <is>
          <t>DEVELOP / VERIFY</t>
        </is>
      </c>
      <c r="D7" s="9" t="inlineStr">
        <is>
          <t>HOLD</t>
        </is>
      </c>
      <c r="E7" s="6" t="inlineStr">
        <is>
          <t>Wyatt Hansen</t>
        </is>
      </c>
      <c r="F7" s="6" t="inlineStr">
        <is>
          <t>18</t>
        </is>
      </c>
      <c r="G7" s="6" t="inlineStr">
        <is>
          <t>(SL County)</t>
        </is>
      </c>
      <c r="H7" s="6" t="inlineStr">
        <is>
          <t>Salt Lake Co. / 3rd District</t>
        </is>
      </c>
      <c r="I7" s="6" t="inlineStr">
        <is>
          <t>Aggravated robbery; aggravated kidnapping</t>
        </is>
      </c>
      <c r="J7" s="6" t="inlineStr">
        <is>
          <t>1st-degree felony</t>
        </is>
      </c>
      <c r="K7" s="6" t="inlineStr">
        <is>
          <t>Booked — SL Co. Metro Jail</t>
        </is>
      </c>
      <c r="L7" s="6" t="inlineStr">
        <is>
          <t>Not confirmed</t>
        </is>
      </c>
      <c r="M7" s="6" t="inlineStr">
        <is>
          <t>Representation unknown</t>
        </is>
      </c>
      <c r="N7" s="6" t="inlineStr">
        <is>
          <t>~2026-07-14</t>
        </is>
      </c>
      <c r="O7" s="6" t="inlineStr">
        <is>
          <t>Salt Lake Co. DA</t>
        </is>
      </c>
      <c r="P7" s="6" t="inlineStr">
        <is>
          <t>Unified PD / SL Co. Sheriff</t>
        </is>
      </c>
      <c r="Q7" s="6" t="inlineStr">
        <is>
          <t>Young adult, 1st-degree violent felony, severe exposure</t>
        </is>
      </c>
      <c r="R7" s="6" t="inlineStr">
        <is>
          <t>Co-defendant with Lead 03b -&gt; Catherine CANNOT represent both. 'More suspects sought' (see Juvenile Signals).</t>
        </is>
      </c>
      <c r="S7" s="6" t="inlineStr">
        <is>
          <t>Verify counsel + hearing. Pick one co-defendant only after conflict check.</t>
        </is>
      </c>
      <c r="T7" s="6" t="inlineStr">
        <is>
          <t>KSL 51600767; Fox13; ABC4</t>
        </is>
      </c>
      <c r="U7" s="6" t="inlineStr">
        <is>
          <t>2026-07-26</t>
        </is>
      </c>
    </row>
    <row r="8" ht="66" customHeight="1">
      <c r="A8" s="6" t="inlineStr">
        <is>
          <t>CSH-20260723-03b</t>
        </is>
      </c>
      <c r="B8" s="7" t="n">
        <v>72</v>
      </c>
      <c r="C8" s="10" t="inlineStr">
        <is>
          <t>DEVELOP / VERIFY</t>
        </is>
      </c>
      <c r="D8" s="9" t="inlineStr">
        <is>
          <t>HOLD</t>
        </is>
      </c>
      <c r="E8" s="6" t="inlineStr">
        <is>
          <t>James Waterman</t>
        </is>
      </c>
      <c r="F8" s="6" t="inlineStr">
        <is>
          <t>19</t>
        </is>
      </c>
      <c r="G8" s="6" t="inlineStr">
        <is>
          <t>(SL County)</t>
        </is>
      </c>
      <c r="H8" s="6" t="inlineStr">
        <is>
          <t>Salt Lake Co. / 3rd District</t>
        </is>
      </c>
      <c r="I8" s="6" t="inlineStr">
        <is>
          <t>Aggravated robbery; aggravated kidnapping</t>
        </is>
      </c>
      <c r="J8" s="6" t="inlineStr">
        <is>
          <t>1st-degree felony</t>
        </is>
      </c>
      <c r="K8" s="6" t="inlineStr">
        <is>
          <t>Booked — SL Co. Metro Jail</t>
        </is>
      </c>
      <c r="L8" s="6" t="inlineStr">
        <is>
          <t>Not confirmed</t>
        </is>
      </c>
      <c r="M8" s="6" t="inlineStr">
        <is>
          <t>Representation unknown</t>
        </is>
      </c>
      <c r="N8" s="6" t="inlineStr">
        <is>
          <t>~2026-07-14</t>
        </is>
      </c>
      <c r="O8" s="6" t="inlineStr">
        <is>
          <t>Salt Lake Co. DA</t>
        </is>
      </c>
      <c r="P8" s="6" t="inlineStr">
        <is>
          <t>Unified PD / SL Co. Sheriff</t>
        </is>
      </c>
      <c r="Q8" s="6" t="inlineStr">
        <is>
          <t>Young adult, 1st-degree violent felony, severe exposure</t>
        </is>
      </c>
      <c r="R8" s="6" t="inlineStr">
        <is>
          <t>Co-defendant with Lead 03a -&gt; conflict. Only one is possible for Catherine.</t>
        </is>
      </c>
      <c r="S8" s="6" t="inlineStr">
        <is>
          <t>Verify counsel + hearing. Resolve co-defendant conflict before any outreach.</t>
        </is>
      </c>
      <c r="T8" s="6" t="inlineStr">
        <is>
          <t>KSL 51600767; Fox13; ABC4</t>
        </is>
      </c>
      <c r="U8" s="6" t="inlineStr">
        <is>
          <t>2026-07-26</t>
        </is>
      </c>
    </row>
    <row r="9" ht="66" customHeight="1">
      <c r="A9" s="6" t="inlineStr">
        <is>
          <t>CSH-20260723-05</t>
        </is>
      </c>
      <c r="B9" s="7" t="n">
        <v>70</v>
      </c>
      <c r="C9" s="10" t="inlineStr">
        <is>
          <t>DEVELOP / VERIFY</t>
        </is>
      </c>
      <c r="D9" s="9" t="inlineStr">
        <is>
          <t>HOLD</t>
        </is>
      </c>
      <c r="E9" s="6" t="inlineStr">
        <is>
          <t>Garrett Thomas Stewart</t>
        </is>
      </c>
      <c r="F9" s="6" t="inlineStr">
        <is>
          <t>35</t>
        </is>
      </c>
      <c r="G9" s="6" t="inlineStr">
        <is>
          <t>Salt Lake City</t>
        </is>
      </c>
      <c r="H9" s="6" t="inlineStr">
        <is>
          <t>Salt Lake Co. / 3rd District</t>
        </is>
      </c>
      <c r="I9" s="6" t="inlineStr">
        <is>
          <t>BOOKING STAGE: investigation of attempted murder; criminal mischief; public intoxication</t>
        </is>
      </c>
      <c r="J9" s="6" t="inlineStr">
        <is>
          <t>1st-degree felony (if filed)</t>
        </is>
      </c>
      <c r="K9" s="6" t="inlineStr">
        <is>
          <t>SL Co. Jail</t>
        </is>
      </c>
      <c r="L9" s="6" t="inlineStr">
        <is>
          <t>Pending charge screening</t>
        </is>
      </c>
      <c r="M9" s="6" t="inlineStr">
        <is>
          <t>Representation unknown</t>
        </is>
      </c>
      <c r="N9" s="6" t="inlineStr">
        <is>
          <t>~2026-07-19</t>
        </is>
      </c>
      <c r="O9" s="6" t="inlineStr">
        <is>
          <t>Salt Lake Co. DA (screening)</t>
        </is>
      </c>
      <c r="P9" s="6" t="inlineStr">
        <is>
          <t>Salt Lake City PD</t>
        </is>
      </c>
      <c r="Q9" s="6" t="inlineStr">
        <is>
          <t>Attempted murder; possible intoxication/mental-state defense angle</t>
        </is>
      </c>
      <c r="R9" s="6" t="inlineStr">
        <is>
          <t>Formal charges may NOT be filed yet. Victim survived, good condition.</t>
        </is>
      </c>
      <c r="S9" s="6" t="inlineStr">
        <is>
          <t>Confirm whether DA files 1st-degree charges + degree. If downgraded/not filed -&gt; archive.</t>
        </is>
      </c>
      <c r="T9" s="6" t="inlineStr">
        <is>
          <t>KSL 51599795</t>
        </is>
      </c>
      <c r="U9" s="6" t="inlineStr">
        <is>
          <t>2026-07-27</t>
        </is>
      </c>
    </row>
    <row r="10" ht="66" customHeight="1">
      <c r="A10" s="6" t="inlineStr">
        <is>
          <t>CSH-20260723-04</t>
        </is>
      </c>
      <c r="B10" s="7" t="n">
        <v>69</v>
      </c>
      <c r="C10" s="10" t="inlineStr">
        <is>
          <t>DEVELOP / VERIFY</t>
        </is>
      </c>
      <c r="D10" s="9" t="inlineStr">
        <is>
          <t>HOLD</t>
        </is>
      </c>
      <c r="E10" s="6" t="inlineStr">
        <is>
          <t>Jose Delfino Lopez Garcia</t>
        </is>
      </c>
      <c r="F10" s="6" t="inlineStr">
        <is>
          <t>28</t>
        </is>
      </c>
      <c r="G10" s="6" t="inlineStr">
        <is>
          <t>Washington</t>
        </is>
      </c>
      <c r="H10" s="6" t="inlineStr">
        <is>
          <t>Washington Co. / 5th District</t>
        </is>
      </c>
      <c r="I10" s="6" t="inlineStr">
        <is>
          <t>Attempted murder (1st); aggravated assault (2nd); aggravated assault (3rd)</t>
        </is>
      </c>
      <c r="J10" s="6" t="inlineStr">
        <is>
          <t>1st-degree felony</t>
        </is>
      </c>
      <c r="K10" s="6" t="inlineStr">
        <is>
          <t>Confirm</t>
        </is>
      </c>
      <c r="L10" s="6" t="inlineStr">
        <is>
          <t>Confirm</t>
        </is>
      </c>
      <c r="M10" s="6" t="inlineStr">
        <is>
          <t>Representation unknown</t>
        </is>
      </c>
      <c r="N10" s="6" t="inlineStr">
        <is>
          <t>Charged (confirm date)</t>
        </is>
      </c>
      <c r="O10" s="6" t="inlineStr">
        <is>
          <t>Washington Co. Attorney</t>
        </is>
      </c>
      <c r="P10" s="6" t="inlineStr">
        <is>
          <t>Confirm</t>
        </is>
      </c>
      <c r="Q10" s="6" t="inlineStr">
        <is>
          <t>1st-degree attempted murder; southern-Utah venue w/ thinner private options</t>
        </is>
      </c>
      <c r="R10" s="6" t="inlineStr">
        <is>
          <t>Southern Utah — assess Catherine's willingness/ability to serve St. George.</t>
        </is>
      </c>
      <c r="S10" s="6" t="inlineStr">
        <is>
          <t>Confirm name/case/charges/counsel on 5th District docket.</t>
        </is>
      </c>
      <c r="T10" s="6" t="inlineStr">
        <is>
          <t>St. George-area coverage</t>
        </is>
      </c>
      <c r="U10" s="6" t="inlineStr">
        <is>
          <t>2026-07-28</t>
        </is>
      </c>
    </row>
    <row r="11" ht="66" customHeight="1">
      <c r="A11" s="6" t="inlineStr">
        <is>
          <t>CSH-20260723-06</t>
        </is>
      </c>
      <c r="B11" s="7" t="inlineStr">
        <is>
          <t>TBD</t>
        </is>
      </c>
      <c r="C11" s="11" t="inlineStr">
        <is>
          <t>VENUE UNVERIFIED</t>
        </is>
      </c>
      <c r="D11" s="9" t="inlineStr">
        <is>
          <t>HOLD — gated</t>
        </is>
      </c>
      <c r="E11" s="6" t="inlineStr">
        <is>
          <t>Joseph Henrichsen (58); Phoenix Henrichsen (33)</t>
        </is>
      </c>
      <c r="F11" s="6" t="inlineStr">
        <is>
          <t>58/33</t>
        </is>
      </c>
      <c r="G11" s="6" t="inlineStr">
        <is>
          <t>(rural)</t>
        </is>
      </c>
      <c r="H11" s="6" t="inlineStr">
        <is>
          <t>Uinta(h)? — VERIFY STATE</t>
        </is>
      </c>
      <c r="I11" s="6" t="inlineStr">
        <is>
          <t>2x aggravated kidnapping; 2x aggravated assault; aggravated robbery (armed, Forest Service workers)</t>
        </is>
      </c>
      <c r="J11" s="6" t="inlineStr">
        <is>
          <t>1st-degree felony</t>
        </is>
      </c>
      <c r="K11" s="6" t="inlineStr">
        <is>
          <t>Confirm</t>
        </is>
      </c>
      <c r="L11" s="6" t="inlineStr">
        <is>
          <t>Confirm</t>
        </is>
      </c>
      <c r="M11" s="6" t="inlineStr">
        <is>
          <t>Representation unknown</t>
        </is>
      </c>
      <c r="N11" s="6" t="inlineStr">
        <is>
          <t>~2026-07-20/21</t>
        </is>
      </c>
      <c r="O11" s="6" t="inlineStr">
        <is>
          <t>Confirm (state vs. federal D. Utah)</t>
        </is>
      </c>
      <c r="P11" s="6" t="inlineStr">
        <is>
          <t>'Uinta Co. Sheriff' — verify</t>
        </is>
      </c>
      <c r="Q11" s="6" t="inlineStr">
        <is>
          <t>Armed kidnapping + possible FEDERAL jurisdiction = strong state/federal alignment</t>
        </is>
      </c>
      <c r="R11" s="6" t="inlineStr">
        <is>
          <t>VENUE CAUTION: 'Uinta County' is in WYOMING; Utah's is 'Uintah County'. Forest = federal land. Confirm UT vs WY vs federal BEFORE any action.</t>
        </is>
      </c>
      <c r="S11" s="6" t="inlineStr">
        <is>
          <t>VERIFY JURISDICTION FIRST. If Wyoming -&gt; out of scope, archive. If UT/D.Utah -&gt; provisional ~74.</t>
        </is>
      </c>
      <c r="T11" s="6" t="inlineStr">
        <is>
          <t>Regional NF coverage</t>
        </is>
      </c>
      <c r="U11" s="6" t="inlineStr">
        <is>
          <t>2026-07-25</t>
        </is>
      </c>
    </row>
  </sheetData>
  <autoFilter ref="A4:U11"/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15" customWidth="1" min="3" max="3"/>
    <col width="13" customWidth="1" min="4" max="4"/>
    <col width="13" customWidth="1" min="5" max="5"/>
    <col width="15" customWidth="1" min="6" max="6"/>
    <col width="13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 ht="26" customHeight="1">
      <c r="A1" s="1" t="inlineStr">
        <is>
          <t>SCORE BREAKDOWN</t>
        </is>
      </c>
    </row>
    <row r="2" ht="16" customHeight="1">
      <c r="A2" s="2" t="inlineStr">
        <is>
          <t>TOTAL is a live formula (=sum of components). Adjust any component and the total recalculates.</t>
        </is>
      </c>
    </row>
    <row r="4" ht="30" customHeight="1">
      <c r="A4" s="5" t="inlineStr">
        <is>
          <t>Lead ID</t>
        </is>
      </c>
      <c r="B4" s="5" t="inlineStr">
        <is>
          <t>Defendant</t>
        </is>
      </c>
      <c r="C4" s="5" t="inlineStr">
        <is>
          <t>Charge/Fit (0-25)</t>
        </is>
      </c>
      <c r="D4" s="5" t="inlineStr">
        <is>
          <t>Urgency (0-20)</t>
        </is>
      </c>
      <c r="E4" s="5" t="inlineStr">
        <is>
          <t>Counsel (0-20)</t>
        </is>
      </c>
      <c r="F4" s="5" t="inlineStr">
        <is>
          <t>Catherine-Fit (0-15)</t>
        </is>
      </c>
      <c r="G4" s="5" t="inlineStr">
        <is>
          <t>Geography (0-10)</t>
        </is>
      </c>
      <c r="H4" s="5" t="inlineStr">
        <is>
          <t>Evidence (0-5)</t>
        </is>
      </c>
      <c r="I4" s="5" t="inlineStr">
        <is>
          <t>Ethical (0-5)</t>
        </is>
      </c>
      <c r="J4" s="5" t="inlineStr">
        <is>
          <t>TOTAL (0-100)</t>
        </is>
      </c>
      <c r="K4" s="5" t="inlineStr">
        <is>
          <t>Band</t>
        </is>
      </c>
    </row>
    <row r="5">
      <c r="A5" s="12" t="inlineStr">
        <is>
          <t>CSH-20260723-01</t>
        </is>
      </c>
      <c r="B5" s="12" t="inlineStr">
        <is>
          <t>Weber Co. child-sex filing</t>
        </is>
      </c>
      <c r="C5" s="13" t="n">
        <v>25</v>
      </c>
      <c r="D5" s="13" t="n">
        <v>20</v>
      </c>
      <c r="E5" s="13" t="n">
        <v>10</v>
      </c>
      <c r="F5" s="13" t="n">
        <v>15</v>
      </c>
      <c r="G5" s="13" t="n">
        <v>10</v>
      </c>
      <c r="H5" s="13" t="n">
        <v>5</v>
      </c>
      <c r="I5" s="13" t="n">
        <v>2</v>
      </c>
      <c r="J5" s="14">
        <f>SUM(C5:I5)</f>
        <v/>
      </c>
      <c r="K5" s="15">
        <f>IF(J5&gt;=90,"Immediate",IF(J5&gt;=80,"Review Today",IF(J5&gt;=65,"Develop/Verify","Monitor")))</f>
        <v/>
      </c>
    </row>
    <row r="6">
      <c r="A6" s="12" t="inlineStr">
        <is>
          <t>CSH-20260723-02</t>
        </is>
      </c>
      <c r="B6" s="12" t="inlineStr">
        <is>
          <t>Peter Michael Larsen</t>
        </is>
      </c>
      <c r="C6" s="13" t="n">
        <v>25</v>
      </c>
      <c r="D6" s="13" t="n">
        <v>5</v>
      </c>
      <c r="E6" s="13" t="n">
        <v>10</v>
      </c>
      <c r="F6" s="13" t="n">
        <v>15</v>
      </c>
      <c r="G6" s="13" t="n">
        <v>10</v>
      </c>
      <c r="H6" s="13" t="n">
        <v>5</v>
      </c>
      <c r="I6" s="13" t="n">
        <v>2</v>
      </c>
      <c r="J6" s="14">
        <f>SUM(C6:I6)</f>
        <v/>
      </c>
      <c r="K6" s="15">
        <f>IF(J6&gt;=90,"Immediate",IF(J6&gt;=80,"Review Today",IF(J6&gt;=65,"Develop/Verify","Monitor")))</f>
        <v/>
      </c>
    </row>
    <row r="7">
      <c r="A7" s="12" t="inlineStr">
        <is>
          <t>CSH-20260723-03a</t>
        </is>
      </c>
      <c r="B7" s="12" t="inlineStr">
        <is>
          <t>Wyatt Hansen</t>
        </is>
      </c>
      <c r="C7" s="13" t="n">
        <v>25</v>
      </c>
      <c r="D7" s="13" t="n">
        <v>5</v>
      </c>
      <c r="E7" s="13" t="n">
        <v>10</v>
      </c>
      <c r="F7" s="13" t="n">
        <v>15</v>
      </c>
      <c r="G7" s="13" t="n">
        <v>10</v>
      </c>
      <c r="H7" s="13" t="n">
        <v>5</v>
      </c>
      <c r="I7" s="13" t="n">
        <v>2</v>
      </c>
      <c r="J7" s="14">
        <f>SUM(C7:I7)</f>
        <v/>
      </c>
      <c r="K7" s="15">
        <f>IF(J7&gt;=90,"Immediate",IF(J7&gt;=80,"Review Today",IF(J7&gt;=65,"Develop/Verify","Monitor")))</f>
        <v/>
      </c>
    </row>
    <row r="8">
      <c r="A8" s="12" t="inlineStr">
        <is>
          <t>CSH-20260723-03b</t>
        </is>
      </c>
      <c r="B8" s="12" t="inlineStr">
        <is>
          <t>James Waterman</t>
        </is>
      </c>
      <c r="C8" s="13" t="n">
        <v>25</v>
      </c>
      <c r="D8" s="13" t="n">
        <v>5</v>
      </c>
      <c r="E8" s="13" t="n">
        <v>10</v>
      </c>
      <c r="F8" s="13" t="n">
        <v>15</v>
      </c>
      <c r="G8" s="13" t="n">
        <v>10</v>
      </c>
      <c r="H8" s="13" t="n">
        <v>5</v>
      </c>
      <c r="I8" s="13" t="n">
        <v>2</v>
      </c>
      <c r="J8" s="14">
        <f>SUM(C8:I8)</f>
        <v/>
      </c>
      <c r="K8" s="15">
        <f>IF(J8&gt;=90,"Immediate",IF(J8&gt;=80,"Review Today",IF(J8&gt;=65,"Develop/Verify","Monitor")))</f>
        <v/>
      </c>
    </row>
    <row r="9">
      <c r="A9" s="12" t="inlineStr">
        <is>
          <t>CSH-20260723-05</t>
        </is>
      </c>
      <c r="B9" s="12" t="inlineStr">
        <is>
          <t>Garrett Thomas Stewart</t>
        </is>
      </c>
      <c r="C9" s="13" t="n">
        <v>25</v>
      </c>
      <c r="D9" s="13" t="n">
        <v>5</v>
      </c>
      <c r="E9" s="13" t="n">
        <v>10</v>
      </c>
      <c r="F9" s="13" t="n">
        <v>15</v>
      </c>
      <c r="G9" s="13" t="n">
        <v>10</v>
      </c>
      <c r="H9" s="13" t="n">
        <v>3</v>
      </c>
      <c r="I9" s="13" t="n">
        <v>2</v>
      </c>
      <c r="J9" s="14">
        <f>SUM(C9:I9)</f>
        <v/>
      </c>
      <c r="K9" s="15">
        <f>IF(J9&gt;=90,"Immediate",IF(J9&gt;=80,"Review Today",IF(J9&gt;=65,"Develop/Verify","Monitor")))</f>
        <v/>
      </c>
    </row>
    <row r="10">
      <c r="A10" s="12" t="inlineStr">
        <is>
          <t>CSH-20260723-04</t>
        </is>
      </c>
      <c r="B10" s="12" t="inlineStr">
        <is>
          <t>Jose Delfino Lopez Garcia</t>
        </is>
      </c>
      <c r="C10" s="13" t="n">
        <v>25</v>
      </c>
      <c r="D10" s="13" t="n">
        <v>5</v>
      </c>
      <c r="E10" s="13" t="n">
        <v>10</v>
      </c>
      <c r="F10" s="13" t="n">
        <v>15</v>
      </c>
      <c r="G10" s="13" t="n">
        <v>7</v>
      </c>
      <c r="H10" s="13" t="n">
        <v>5</v>
      </c>
      <c r="I10" s="13" t="n">
        <v>2</v>
      </c>
      <c r="J10" s="14">
        <f>SUM(C10:I10)</f>
        <v/>
      </c>
      <c r="K10" s="15">
        <f>IF(J10&gt;=90,"Immediate",IF(J10&gt;=80,"Review Today",IF(J10&gt;=65,"Develop/Verify","Monitor")))</f>
        <v/>
      </c>
    </row>
    <row r="11">
      <c r="A11" s="12" t="inlineStr">
        <is>
          <t>CSH-20260723-06</t>
        </is>
      </c>
      <c r="B11" s="12" t="inlineStr">
        <is>
          <t>Henrichsen x2 (PROVISIONAL-venue)</t>
        </is>
      </c>
      <c r="C11" s="13" t="n">
        <v>25</v>
      </c>
      <c r="D11" s="13" t="n">
        <v>5</v>
      </c>
      <c r="E11" s="13" t="n">
        <v>10</v>
      </c>
      <c r="F11" s="13" t="n">
        <v>15</v>
      </c>
      <c r="G11" s="13" t="n">
        <v>4</v>
      </c>
      <c r="H11" s="13" t="n">
        <v>5</v>
      </c>
      <c r="I11" s="13" t="n">
        <v>2</v>
      </c>
      <c r="J11" s="14">
        <f>SUM(C11:I11)</f>
        <v/>
      </c>
      <c r="K11" s="15">
        <f>IF(J11&gt;=90,"Immediate",IF(J11&gt;=80,"Review Today",IF(J11&gt;=65,"Develop/Verify","Monitor")))</f>
        <v/>
      </c>
    </row>
    <row r="13">
      <c r="A13" s="16" t="inlineStr">
        <is>
          <t>NOTE: Henrichsen total is PROVISIONAL and shown only if venue confirms Utah state or federal District of Utah. If Wyoming, the matter is out of scope (archive).</t>
        </is>
      </c>
    </row>
  </sheetData>
  <mergeCells count="3">
    <mergeCell ref="A2:K2"/>
    <mergeCell ref="A1:K1"/>
    <mergeCell ref="A13:K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46" customWidth="1" min="4" max="4"/>
    <col width="46" customWidth="1" min="5" max="5"/>
    <col width="16" customWidth="1" min="6" max="6"/>
    <col width="9" customWidth="1" min="7" max="7"/>
  </cols>
  <sheetData>
    <row r="1" ht="26" customHeight="1">
      <c r="A1" s="1" t="inlineStr">
        <is>
          <t>MANUAL XCHANGE WORK QUEUE</t>
        </is>
      </c>
    </row>
    <row r="2" ht="16" customHeight="1">
      <c r="A2" s="2" t="inlineStr">
        <is>
          <t>For the HUMAN OPERATOR. Manual only — no automation/scraping. Strip DOBs, addresses, phones, and victim info before returning results.</t>
        </is>
      </c>
    </row>
    <row r="4" ht="26" customHeight="1">
      <c r="A4" s="5" t="inlineStr">
        <is>
          <t>#</t>
        </is>
      </c>
      <c r="B4" s="5" t="inlineStr">
        <is>
          <t>Priority</t>
        </is>
      </c>
      <c r="C4" s="5" t="inlineStr">
        <is>
          <t>Court / District</t>
        </is>
      </c>
      <c r="D4" s="5" t="inlineStr">
        <is>
          <t>What to pull</t>
        </is>
      </c>
      <c r="E4" s="5" t="inlineStr">
        <is>
          <t>Fields to record</t>
        </is>
      </c>
      <c r="F4" s="5" t="inlineStr">
        <is>
          <t>Related Lead</t>
        </is>
      </c>
      <c r="G4" s="5" t="inlineStr">
        <is>
          <t>Done?</t>
        </is>
      </c>
    </row>
    <row r="5" ht="44" customHeight="1">
      <c r="A5" s="6" t="inlineStr">
        <is>
          <t>1</t>
        </is>
      </c>
      <c r="B5" s="8" t="inlineStr">
        <is>
          <t>TODAY</t>
        </is>
      </c>
      <c r="C5" s="6" t="inlineStr">
        <is>
          <t>Weber Co. / 2nd District</t>
        </is>
      </c>
      <c r="D5" s="6" t="inlineStr">
        <is>
          <t>Child-sex-offense filing; defendant booked ~07-21; initial appearance 07-25</t>
        </is>
      </c>
      <c r="E5" s="6" t="inlineStr">
        <is>
          <t>Name, case #, charges/degree, COUNSEL at appearance</t>
        </is>
      </c>
      <c r="F5" s="6" t="inlineStr">
        <is>
          <t>CSH-...-01</t>
        </is>
      </c>
      <c r="G5" s="6" t="inlineStr"/>
    </row>
    <row r="6" ht="44" customHeight="1">
      <c r="A6" s="6" t="inlineStr">
        <is>
          <t>2</t>
        </is>
      </c>
      <c r="B6" s="8" t="inlineStr">
        <is>
          <t>TODAY</t>
        </is>
      </c>
      <c r="C6" s="6" t="inlineStr">
        <is>
          <t>Salt Lake Co. / 3rd District</t>
        </is>
      </c>
      <c r="D6" s="6" t="inlineStr">
        <is>
          <t>Peter Michael Larsen (48, Taylorsville), attempted agg murder x2</t>
        </is>
      </c>
      <c r="E6" s="6" t="inlineStr">
        <is>
          <t>Case #, next hearing, counsel, bail</t>
        </is>
      </c>
      <c r="F6" s="6" t="inlineStr">
        <is>
          <t>CSH-...-02</t>
        </is>
      </c>
      <c r="G6" s="6" t="inlineStr"/>
    </row>
    <row r="7" ht="44" customHeight="1">
      <c r="A7" s="6" t="inlineStr">
        <is>
          <t>3</t>
        </is>
      </c>
      <c r="B7" s="8" t="inlineStr">
        <is>
          <t>TODAY</t>
        </is>
      </c>
      <c r="C7" s="6" t="inlineStr">
        <is>
          <t>Salt Lake Co. / 3rd District</t>
        </is>
      </c>
      <c r="D7" s="6" t="inlineStr">
        <is>
          <t>Wyatt Hansen (18) &amp; James Waterman (19), agg robbery/kidnapping</t>
        </is>
      </c>
      <c r="E7" s="6" t="inlineStr">
        <is>
          <t>Separate dockets; counsel each; hearings; co-defendant status</t>
        </is>
      </c>
      <c r="F7" s="6" t="inlineStr">
        <is>
          <t>CSH-...-03a/b</t>
        </is>
      </c>
      <c r="G7" s="6" t="inlineStr"/>
    </row>
    <row r="8" ht="44" customHeight="1">
      <c r="A8" s="6" t="inlineStr">
        <is>
          <t>4</t>
        </is>
      </c>
      <c r="B8" s="17" t="inlineStr">
        <is>
          <t>This week</t>
        </is>
      </c>
      <c r="C8" s="6" t="inlineStr">
        <is>
          <t>Washington Co. / 5th District</t>
        </is>
      </c>
      <c r="D8" s="6" t="inlineStr">
        <is>
          <t>Jose Delfino Lopez Garcia (28), attempted murder + agg assault x2</t>
        </is>
      </c>
      <c r="E8" s="6" t="inlineStr">
        <is>
          <t>Case #, hearing, counsel</t>
        </is>
      </c>
      <c r="F8" s="6" t="inlineStr">
        <is>
          <t>CSH-...-04</t>
        </is>
      </c>
      <c r="G8" s="6" t="inlineStr"/>
    </row>
    <row r="9" ht="44" customHeight="1">
      <c r="A9" s="6" t="inlineStr">
        <is>
          <t>5</t>
        </is>
      </c>
      <c r="B9" s="17" t="inlineStr">
        <is>
          <t>This week</t>
        </is>
      </c>
      <c r="C9" s="6" t="inlineStr">
        <is>
          <t>Salt Lake Co. / 3rd District</t>
        </is>
      </c>
      <c r="D9" s="6" t="inlineStr">
        <is>
          <t>Garrett Thomas Stewart (35) — did DA FILE formal charges?</t>
        </is>
      </c>
      <c r="E9" s="6" t="inlineStr">
        <is>
          <t>Whether charges filed + degree</t>
        </is>
      </c>
      <c r="F9" s="6" t="inlineStr">
        <is>
          <t>CSH-...-05</t>
        </is>
      </c>
      <c r="G9" s="6" t="inlineStr"/>
    </row>
    <row r="10" ht="44" customHeight="1">
      <c r="A10" s="6" t="inlineStr">
        <is>
          <t>6</t>
        </is>
      </c>
      <c r="B10" s="8" t="inlineStr">
        <is>
          <t>TODAY</t>
        </is>
      </c>
      <c r="C10" s="6" t="inlineStr">
        <is>
          <t>Jurisdiction check</t>
        </is>
      </c>
      <c r="D10" s="6" t="inlineStr">
        <is>
          <t>Henrichsen (58/33) Forest Service kidnapping — UT (Uintah) vs WY (Uinta) vs federal D. Utah?</t>
        </is>
      </c>
      <c r="E10" s="6" t="inlineStr">
        <is>
          <t>Confirm state/court BEFORE treating as Utah lead</t>
        </is>
      </c>
      <c r="F10" s="6" t="inlineStr">
        <is>
          <t>CSH-...-06</t>
        </is>
      </c>
      <c r="G10" s="6" t="inlineStr"/>
    </row>
    <row r="11" ht="44" customHeight="1">
      <c r="A11" s="6" t="inlineStr">
        <is>
          <t>7</t>
        </is>
      </c>
      <c r="B11" s="17" t="inlineStr">
        <is>
          <t>Weekly</t>
        </is>
      </c>
      <c r="C11" s="6" t="inlineStr">
        <is>
          <t>All districts</t>
        </is>
      </c>
      <c r="D11" s="6" t="inlineStr">
        <is>
          <t>Criminal filings by FILING DATE, previous 7 days; split by date/court if over limit</t>
        </is>
      </c>
      <c r="E11" s="6" t="inlineStr">
        <is>
          <t>Case #, court, filing date, name, charges/degree, counsel, hearing, judge, custody</t>
        </is>
      </c>
      <c r="F11" s="6" t="inlineStr">
        <is>
          <t>Standing</t>
        </is>
      </c>
      <c r="G11" s="6" t="inlineStr"/>
    </row>
    <row r="12" ht="44" customHeight="1">
      <c r="A12" s="6" t="inlineStr">
        <is>
          <t>8</t>
        </is>
      </c>
      <c r="B12" s="17" t="inlineStr">
        <is>
          <t>Weekly</t>
        </is>
      </c>
      <c r="C12" s="6" t="inlineStr">
        <is>
          <t>All districts</t>
        </is>
      </c>
      <c r="D12" s="6" t="inlineStr">
        <is>
          <t>Emphasize 1st-degree / agg murder / attempted murder / agg sexual assault / rape / agg kidnapping-robbery-burglary-arson / agg child abuse / felony discharge</t>
        </is>
      </c>
      <c r="E12" s="6" t="inlineStr">
        <is>
          <t>Flag NO-COUNSEL-SHOWN matters as priority</t>
        </is>
      </c>
      <c r="F12" s="6" t="inlineStr">
        <is>
          <t>Standing</t>
        </is>
      </c>
      <c r="G12" s="6" t="inlineStr"/>
    </row>
    <row r="13" ht="44" customHeight="1">
      <c r="A13" s="6" t="inlineStr">
        <is>
          <t>9</t>
        </is>
      </c>
      <c r="B13" s="17" t="inlineStr">
        <is>
          <t>Mondays</t>
        </is>
      </c>
      <c r="C13" s="6" t="inlineStr">
        <is>
          <t>All districts</t>
        </is>
      </c>
      <c r="D13" s="6" t="inlineStr">
        <is>
          <t>7-day backfill + re-check Leads 01-06 for changes in counsel, custody, charges, hearing dates</t>
        </is>
      </c>
      <c r="E13" s="6" t="inlineStr">
        <is>
          <t>Update pipeline</t>
        </is>
      </c>
      <c r="F13" s="6" t="inlineStr">
        <is>
          <t>Standing</t>
        </is>
      </c>
      <c r="G13" s="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78" customWidth="1" min="3" max="3"/>
  </cols>
  <sheetData>
    <row r="1" ht="26" customHeight="1">
      <c r="A1" s="1" t="inlineStr">
        <is>
          <t>DO NOT CONTACT · JUVENILE SIGNALS · REFERRALS</t>
        </is>
      </c>
    </row>
    <row r="2" ht="16" customHeight="1">
      <c r="A2" s="2" t="inlineStr">
        <is>
          <t>Exclusions and non-lead intelligence. Respect all entries.</t>
        </is>
      </c>
    </row>
    <row r="4">
      <c r="A4" s="5" t="inlineStr">
        <is>
          <t>Category</t>
        </is>
      </c>
      <c r="B4" s="5" t="inlineStr">
        <is>
          <t>Item</t>
        </is>
      </c>
      <c r="C4" s="5" t="inlineStr">
        <is>
          <t>Reason</t>
        </is>
      </c>
    </row>
    <row r="5" ht="40" customHeight="1">
      <c r="A5" s="11" t="inlineStr">
        <is>
          <t>DO NOT CONTACT</t>
        </is>
      </c>
      <c r="B5" s="6" t="inlineStr">
        <is>
          <t>Tyler Robinson (Utah Co. capital / Charlie Kirk case)</t>
        </is>
      </c>
      <c r="C5" s="6" t="inlineStr">
        <is>
          <t>Represented; capital; high-profile. Illustrative of verification discipline only.</t>
        </is>
      </c>
    </row>
    <row r="6" ht="40" customHeight="1">
      <c r="A6" s="11" t="inlineStr">
        <is>
          <t>DO NOT CONTACT</t>
        </is>
      </c>
      <c r="B6" s="6" t="inlineStr">
        <is>
          <t>Kevin Stanley Ellis (American Fork brother-in-law murder)</t>
        </is>
      </c>
      <c r="C6" s="6" t="inlineStr">
        <is>
          <t>NOT a new lead — 2024 shooting already TRIED &amp; SENTENCED in early 2026. Recirculated headline. Archive.</t>
        </is>
      </c>
    </row>
    <row r="7" ht="40" customHeight="1">
      <c r="A7" s="11" t="inlineStr">
        <is>
          <t>DO NOT CONTACT</t>
        </is>
      </c>
      <c r="B7" s="6" t="inlineStr">
        <is>
          <t>Nolin Jeffery Maurer (Weber school-custodian sex charges)</t>
        </is>
      </c>
      <c r="C7" s="6" t="inlineStr">
        <is>
          <t>Arrest ~April 2026 — outside window; likely represented. Archive unless representation change surfaces.</t>
        </is>
      </c>
    </row>
    <row r="8" ht="40" customHeight="1">
      <c r="A8" s="11" t="inlineStr">
        <is>
          <t>DO NOT CONTACT</t>
        </is>
      </c>
      <c r="B8" s="6" t="inlineStr">
        <is>
          <t>All victims / witnesses / uninvolved family (every matter)</t>
        </is>
      </c>
      <c r="C8" s="6" t="inlineStr">
        <is>
          <t>Never targeted. Never identify or collect victim info.</t>
        </is>
      </c>
    </row>
    <row r="9" ht="40" customHeight="1">
      <c r="A9" s="11" t="inlineStr">
        <is>
          <t>DO NOT CONTACT</t>
        </is>
      </c>
      <c r="B9" s="6" t="inlineStr">
        <is>
          <t>Any sealed / juvenile / protected record</t>
        </is>
      </c>
      <c r="C9" s="6" t="inlineStr">
        <is>
          <t>Excluded by rule.</t>
        </is>
      </c>
    </row>
    <row r="10" ht="40" customHeight="1">
      <c r="A10" s="8" t="inlineStr">
        <is>
          <t>JUVENILE SIGNAL</t>
        </is>
      </c>
      <c r="B10" s="6" t="inlineStr">
        <is>
          <t>Millcreek agg robbery/kidnapping — 'additional suspects sought'</t>
        </is>
      </c>
      <c r="C10" s="6" t="inlineStr">
        <is>
          <t>Some outstanding suspects MAY be juveniles. Non-identifying market signal only -&gt; supports general parent-focused juvenile-defense marketing in Salt Lake County. Do NOT name/seek any minor.</t>
        </is>
      </c>
    </row>
    <row r="11" ht="40" customHeight="1">
      <c r="A11" s="8" t="inlineStr">
        <is>
          <t>JUVENILE MARKET</t>
        </is>
      </c>
      <c r="B11" s="6" t="inlineStr">
        <is>
          <t>Utah Serious Youth Offender exposure (16-17 yr olds, aggravated crimes)</t>
        </is>
      </c>
      <c r="C11" s="6" t="inlineStr">
        <is>
          <t>Supports evergreen parent-education content on adult-transfer risk. No named prospect.</t>
        </is>
      </c>
    </row>
    <row r="12" ht="40" customHeight="1">
      <c r="A12" s="10" t="inlineStr">
        <is>
          <t>REFERRAL TARGET</t>
        </is>
      </c>
      <c r="B12" s="6" t="inlineStr">
        <is>
          <t>Southern Utah (Washington/Iron Co.) general-practice &amp; DUI firms</t>
        </is>
      </c>
      <c r="C12" s="6" t="inlineStr">
        <is>
          <t>May catch serious felony/juvenile inquiries outside their lane (Lead 04 venue).</t>
        </is>
      </c>
    </row>
    <row r="13" ht="40" customHeight="1">
      <c r="A13" s="10" t="inlineStr">
        <is>
          <t>REFERRAL TARGET</t>
        </is>
      </c>
      <c r="B13" s="6" t="inlineStr">
        <is>
          <t>Rural/eastern Utah (Uintah, Carbon, Duchesne, San Juan) GPs</t>
        </is>
      </c>
      <c r="C13" s="6" t="inlineStr">
        <is>
          <t>Serious felonies arise where dedicated defense capacity is thin.</t>
        </is>
      </c>
    </row>
    <row r="14" ht="40" customHeight="1">
      <c r="A14" s="10" t="inlineStr">
        <is>
          <t>REFERRAL TARGET</t>
        </is>
      </c>
      <c r="B14" s="6" t="inlineStr">
        <is>
          <t>Family-law / estate / business attorneys statewide</t>
        </is>
      </c>
      <c r="C14" s="6" t="inlineStr">
        <is>
          <t>Clients' relatives get arrested; they refer out serious criminal/juvenile matters.</t>
        </is>
      </c>
    </row>
    <row r="15" ht="40" customHeight="1">
      <c r="A15" s="10" t="inlineStr">
        <is>
          <t>REFERRAL TARGET</t>
        </is>
      </c>
      <c r="B15" s="6" t="inlineStr">
        <is>
          <t>Out-of-state criminal attorneys w/ Utah-arrested clients</t>
        </is>
      </c>
      <c r="C15" s="6" t="inlineStr">
        <is>
          <t>Need local counsel, esp. federal District of Utah.</t>
        </is>
      </c>
    </row>
    <row r="16" ht="40" customHeight="1">
      <c r="A16" s="8" t="inlineStr">
        <is>
          <t>REPRESENTATION CHANGE</t>
        </is>
      </c>
      <c r="B16" s="6" t="inlineStr">
        <is>
          <t>None verified this run</t>
        </is>
      </c>
      <c r="C16" s="6" t="inlineStr">
        <is>
          <t>Requires docket access. Monitor Leads 01-06 for notices of appearance / withdrawal / PD assignment.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2026-07-23T06:57:39Z</dcterms:created>
  <dcterms:modified xsi:type="dcterms:W3CDTF">2026-07-23T06:57:39Z</dcterms:modified>
</cp:coreProperties>
</file>