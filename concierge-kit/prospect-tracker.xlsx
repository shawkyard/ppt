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sz val="12"/>
    </font>
    <font>
      <name val="Arial"/>
      <b val="1"/>
      <sz val="10"/>
    </font>
    <font>
      <name val="Arial"/>
      <color rgb="00606060"/>
      <sz val="9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6" customWidth="1" min="4" max="4"/>
    <col width="16" customWidth="1" min="5" max="5"/>
    <col width="26" customWidth="1" min="6" max="6"/>
    <col width="20" customWidth="1" min="7" max="7"/>
    <col width="20" customWidth="1" min="8" max="8"/>
    <col width="15" customWidth="1" min="9" max="9"/>
    <col width="15" customWidth="1" min="10" max="10"/>
    <col width="20" customWidth="1" min="11" max="11"/>
    <col width="42" customWidth="1" min="12" max="12"/>
  </cols>
  <sheetData>
    <row r="1" ht="22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Company Name</t>
        </is>
      </c>
      <c r="E1" s="1" t="inlineStr">
        <is>
          <t>Phone Number</t>
        </is>
      </c>
      <c r="F1" s="1" t="inlineStr">
        <is>
          <t>Website URL</t>
        </is>
      </c>
      <c r="G1" s="1" t="inlineStr">
        <is>
          <t>Industry</t>
        </is>
      </c>
      <c r="H1" s="1" t="inlineStr">
        <is>
          <t>Status</t>
        </is>
      </c>
      <c r="I1" s="1" t="inlineStr">
        <is>
          <t>Date Contacted</t>
        </is>
      </c>
      <c r="J1" s="1" t="inlineStr">
        <is>
          <t>Follow-Up Date</t>
        </is>
      </c>
      <c r="K1" s="1" t="inlineStr">
        <is>
          <t>How I Found Them</t>
        </is>
      </c>
      <c r="L1" s="1" t="inlineStr">
        <is>
          <t>Notes</t>
        </is>
      </c>
    </row>
    <row r="2">
      <c r="A2" s="2" t="inlineStr">
        <is>
          <t>Maria</t>
        </is>
      </c>
      <c r="B2" s="2" t="inlineStr">
        <is>
          <t>Lopez</t>
        </is>
      </c>
      <c r="C2" s="2" t="inlineStr">
        <is>
          <t>maria@lopezplumbing.com</t>
        </is>
      </c>
      <c r="D2" s="2" t="inlineStr">
        <is>
          <t>Lopez Plumbing</t>
        </is>
      </c>
      <c r="E2" s="2" t="inlineStr">
        <is>
          <t>555-201-8890</t>
        </is>
      </c>
      <c r="F2" s="2" t="inlineStr">
        <is>
          <t>lopezplumbing.com</t>
        </is>
      </c>
      <c r="G2" s="2" t="inlineStr">
        <is>
          <t>Trades / home services</t>
        </is>
      </c>
      <c r="H2" s="2" t="inlineStr">
        <is>
          <t>Emailed</t>
        </is>
      </c>
      <c r="I2" s="2" t="inlineStr">
        <is>
          <t>2026-08-26</t>
        </is>
      </c>
      <c r="J2" s="2" t="inlineStr">
        <is>
          <t>2026-08-29</t>
        </is>
      </c>
      <c r="K2" s="2" t="inlineStr">
        <is>
          <t>Drove past / walk-in</t>
        </is>
      </c>
      <c r="L2" s="2" t="inlineStr">
        <is>
          <t>Owner; swamped with quote paperwork, asked me to email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4" t="n"/>
      <c r="J3" s="4" t="n"/>
      <c r="K3" s="3" t="n"/>
      <c r="L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4" t="n"/>
      <c r="J4" s="4" t="n"/>
      <c r="K4" s="3" t="n"/>
      <c r="L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4" t="n"/>
      <c r="J5" s="4" t="n"/>
      <c r="K5" s="3" t="n"/>
      <c r="L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4" t="n"/>
      <c r="J6" s="4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4" t="n"/>
      <c r="J7" s="4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4" t="n"/>
      <c r="J8" s="4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4" t="n"/>
      <c r="J9" s="4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4" t="n"/>
      <c r="J10" s="4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4" t="n"/>
      <c r="J11" s="4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4" t="n"/>
      <c r="J12" s="4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4" t="n"/>
      <c r="J13" s="4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4" t="n"/>
      <c r="J14" s="4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4" t="n"/>
      <c r="J15" s="4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4" t="n"/>
      <c r="J16" s="4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4" t="n"/>
      <c r="J17" s="4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4" t="n"/>
      <c r="J18" s="4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4" t="n"/>
      <c r="J19" s="4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4" t="n"/>
      <c r="J20" s="4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4" t="n"/>
      <c r="J21" s="4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4" t="n"/>
      <c r="J22" s="4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4" t="n"/>
      <c r="J23" s="4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4" t="n"/>
      <c r="J24" s="4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4" t="n"/>
      <c r="J25" s="4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4" t="n"/>
      <c r="J26" s="4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4" t="n"/>
      <c r="J27" s="4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4" t="n"/>
      <c r="J28" s="4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4" t="n"/>
      <c r="J29" s="4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4" t="n"/>
      <c r="J30" s="4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4" t="n"/>
      <c r="J31" s="4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4" t="n"/>
      <c r="J32" s="4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4" t="n"/>
      <c r="J33" s="4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4" t="n"/>
      <c r="J34" s="4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4" t="n"/>
      <c r="J35" s="4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4" t="n"/>
      <c r="J36" s="4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4" t="n"/>
      <c r="J37" s="4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4" t="n"/>
      <c r="J38" s="4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4" t="n"/>
      <c r="J39" s="4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4" t="n"/>
      <c r="J40" s="4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4" t="n"/>
      <c r="J41" s="4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4" t="n"/>
      <c r="J42" s="4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4" t="n"/>
      <c r="J43" s="4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4" t="n"/>
      <c r="J44" s="4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4" t="n"/>
      <c r="J45" s="4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4" t="n"/>
      <c r="J46" s="4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4" t="n"/>
      <c r="J47" s="4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4" t="n"/>
      <c r="J48" s="4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4" t="n"/>
      <c r="J49" s="4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4" t="n"/>
      <c r="J50" s="4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4" t="n"/>
      <c r="J51" s="4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4" t="n"/>
      <c r="J52" s="4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4" t="n"/>
      <c r="J53" s="4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4" t="n"/>
      <c r="J54" s="4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4" t="n"/>
      <c r="J55" s="4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4" t="n"/>
      <c r="J56" s="4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4" t="n"/>
      <c r="J57" s="4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4" t="n"/>
      <c r="J58" s="4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4" t="n"/>
      <c r="J59" s="4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4" t="n"/>
      <c r="J60" s="4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4" t="n"/>
      <c r="J61" s="4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4" t="n"/>
      <c r="J62" s="4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4" t="n"/>
      <c r="J63" s="4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4" t="n"/>
      <c r="J64" s="4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4" t="n"/>
      <c r="J65" s="4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4" t="n"/>
      <c r="J66" s="4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4" t="n"/>
      <c r="J67" s="4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4" t="n"/>
      <c r="J68" s="4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4" t="n"/>
      <c r="J69" s="4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4" t="n"/>
      <c r="J70" s="4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4" t="n"/>
      <c r="J71" s="4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4" t="n"/>
      <c r="J72" s="4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4" t="n"/>
      <c r="J73" s="4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4" t="n"/>
      <c r="J74" s="4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4" t="n"/>
      <c r="J75" s="4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4" t="n"/>
      <c r="J76" s="4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4" t="n"/>
      <c r="J77" s="4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4" t="n"/>
      <c r="J78" s="4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4" t="n"/>
      <c r="J79" s="4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4" t="n"/>
      <c r="J80" s="4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4" t="n"/>
      <c r="J81" s="4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4" t="n"/>
      <c r="J82" s="4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4" t="n"/>
      <c r="J83" s="4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4" t="n"/>
      <c r="J84" s="4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4" t="n"/>
      <c r="J85" s="4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4" t="n"/>
      <c r="J86" s="4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4" t="n"/>
      <c r="J87" s="4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4" t="n"/>
      <c r="J88" s="4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4" t="n"/>
      <c r="J89" s="4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4" t="n"/>
      <c r="J90" s="4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4" t="n"/>
      <c r="J91" s="4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4" t="n"/>
      <c r="J92" s="4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4" t="n"/>
      <c r="J93" s="4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4" t="n"/>
      <c r="J94" s="4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4" t="n"/>
      <c r="J95" s="4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4" t="n"/>
      <c r="J96" s="4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4" t="n"/>
      <c r="J97" s="4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4" t="n"/>
      <c r="J98" s="4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4" t="n"/>
      <c r="J99" s="4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4" t="n"/>
      <c r="J100" s="4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4" t="n"/>
      <c r="J101" s="4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4" t="n"/>
      <c r="J102" s="4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4" t="n"/>
      <c r="J103" s="4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4" t="n"/>
      <c r="J104" s="4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4" t="n"/>
      <c r="J105" s="4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4" t="n"/>
      <c r="J106" s="4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4" t="n"/>
      <c r="J107" s="4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4" t="n"/>
      <c r="J108" s="4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4" t="n"/>
      <c r="J109" s="4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4" t="n"/>
      <c r="J110" s="4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4" t="n"/>
      <c r="J111" s="4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4" t="n"/>
      <c r="J112" s="4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4" t="n"/>
      <c r="J113" s="4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4" t="n"/>
      <c r="J114" s="4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4" t="n"/>
      <c r="J115" s="4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4" t="n"/>
      <c r="J116" s="4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4" t="n"/>
      <c r="J117" s="4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4" t="n"/>
      <c r="J118" s="4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4" t="n"/>
      <c r="J119" s="4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4" t="n"/>
      <c r="J120" s="4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4" t="n"/>
      <c r="J121" s="4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4" t="n"/>
      <c r="J122" s="4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4" t="n"/>
      <c r="J123" s="4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4" t="n"/>
      <c r="J124" s="4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4" t="n"/>
      <c r="J125" s="4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4" t="n"/>
      <c r="J126" s="4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4" t="n"/>
      <c r="J127" s="4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4" t="n"/>
      <c r="J128" s="4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4" t="n"/>
      <c r="J129" s="4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4" t="n"/>
      <c r="J130" s="4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4" t="n"/>
      <c r="J131" s="4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4" t="n"/>
      <c r="J132" s="4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4" t="n"/>
      <c r="J133" s="4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4" t="n"/>
      <c r="J134" s="4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4" t="n"/>
      <c r="J135" s="4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4" t="n"/>
      <c r="J136" s="4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4" t="n"/>
      <c r="J137" s="4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4" t="n"/>
      <c r="J138" s="4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4" t="n"/>
      <c r="J139" s="4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4" t="n"/>
      <c r="J140" s="4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4" t="n"/>
      <c r="J141" s="4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4" t="n"/>
      <c r="J142" s="4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4" t="n"/>
      <c r="J143" s="4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4" t="n"/>
      <c r="J144" s="4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4" t="n"/>
      <c r="J145" s="4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4" t="n"/>
      <c r="J146" s="4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4" t="n"/>
      <c r="J147" s="4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4" t="n"/>
      <c r="J148" s="4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4" t="n"/>
      <c r="J149" s="4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4" t="n"/>
      <c r="J150" s="4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4" t="n"/>
      <c r="J151" s="4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4" t="n"/>
      <c r="J152" s="4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4" t="n"/>
      <c r="J153" s="4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4" t="n"/>
      <c r="J154" s="4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4" t="n"/>
      <c r="J155" s="4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4" t="n"/>
      <c r="J156" s="4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4" t="n"/>
      <c r="J157" s="4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4" t="n"/>
      <c r="J158" s="4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4" t="n"/>
      <c r="J159" s="4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4" t="n"/>
      <c r="J160" s="4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4" t="n"/>
      <c r="J161" s="4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4" t="n"/>
      <c r="J162" s="4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4" t="n"/>
      <c r="J163" s="4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4" t="n"/>
      <c r="J164" s="4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4" t="n"/>
      <c r="J165" s="4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4" t="n"/>
      <c r="J166" s="4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4" t="n"/>
      <c r="J167" s="4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4" t="n"/>
      <c r="J168" s="4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4" t="n"/>
      <c r="J169" s="4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4" t="n"/>
      <c r="J170" s="4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4" t="n"/>
      <c r="J171" s="4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4" t="n"/>
      <c r="J172" s="4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4" t="n"/>
      <c r="J173" s="4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4" t="n"/>
      <c r="J174" s="4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4" t="n"/>
      <c r="J175" s="4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4" t="n"/>
      <c r="J176" s="4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4" t="n"/>
      <c r="J177" s="4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4" t="n"/>
      <c r="J178" s="4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4" t="n"/>
      <c r="J179" s="4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4" t="n"/>
      <c r="J180" s="4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4" t="n"/>
      <c r="J181" s="4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4" t="n"/>
      <c r="J182" s="4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4" t="n"/>
      <c r="J183" s="4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4" t="n"/>
      <c r="J184" s="4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4" t="n"/>
      <c r="J185" s="4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4" t="n"/>
      <c r="J186" s="4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4" t="n"/>
      <c r="J187" s="4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4" t="n"/>
      <c r="J188" s="4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4" t="n"/>
      <c r="J189" s="4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4" t="n"/>
      <c r="J190" s="4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4" t="n"/>
      <c r="J191" s="4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4" t="n"/>
      <c r="J192" s="4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4" t="n"/>
      <c r="J193" s="4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4" t="n"/>
      <c r="J194" s="4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4" t="n"/>
      <c r="J195" s="4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4" t="n"/>
      <c r="J196" s="4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4" t="n"/>
      <c r="J197" s="4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4" t="n"/>
      <c r="J198" s="4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4" t="n"/>
      <c r="J199" s="4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4" t="n"/>
      <c r="J200" s="4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4" t="n"/>
      <c r="J201" s="4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4" t="n"/>
      <c r="J202" s="4" t="n"/>
      <c r="K202" s="3" t="n"/>
      <c r="L202" s="3" t="n"/>
    </row>
  </sheetData>
  <dataValidations count="1">
    <dataValidation sqref="H2:H500" showDropDown="0" showInputMessage="0" showErrorMessage="0" allowBlank="1" type="list">
      <formula1>"To contact,Emailed,Followed up,Replied,Assessment booked,Audit sold,Client,Not interested"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5" t="inlineStr">
        <is>
          <t>Pipeline at a glance</t>
        </is>
      </c>
    </row>
    <row r="3">
      <c r="A3" s="6" t="inlineStr">
        <is>
          <t>Total prospects</t>
        </is>
      </c>
      <c r="B3" s="7">
        <f>COUNTA(Prospects!C2:C500)</f>
        <v/>
      </c>
    </row>
    <row r="4">
      <c r="A4" s="6" t="inlineStr">
        <is>
          <t>To contact</t>
        </is>
      </c>
      <c r="B4" s="6">
        <f>COUNTIF(Prospects!H2:H500,"To contact")</f>
        <v/>
      </c>
    </row>
    <row r="5">
      <c r="A5" s="6" t="inlineStr">
        <is>
          <t>Emailed</t>
        </is>
      </c>
      <c r="B5" s="6">
        <f>COUNTIF(Prospects!H2:H500,"Emailed")</f>
        <v/>
      </c>
    </row>
    <row r="6">
      <c r="A6" s="6" t="inlineStr">
        <is>
          <t>Followed up</t>
        </is>
      </c>
      <c r="B6" s="6">
        <f>COUNTIF(Prospects!H2:H500,"Followed up")</f>
        <v/>
      </c>
    </row>
    <row r="7">
      <c r="A7" s="6" t="inlineStr">
        <is>
          <t>Replied</t>
        </is>
      </c>
      <c r="B7" s="6">
        <f>COUNTIF(Prospects!H2:H500,"Replied")</f>
        <v/>
      </c>
    </row>
    <row r="8">
      <c r="A8" s="6" t="inlineStr">
        <is>
          <t>Assessment booked</t>
        </is>
      </c>
      <c r="B8" s="6">
        <f>COUNTIF(Prospects!H2:H500,"Assessment booked")</f>
        <v/>
      </c>
    </row>
    <row r="9">
      <c r="A9" s="6" t="inlineStr">
        <is>
          <t>Audit sold</t>
        </is>
      </c>
      <c r="B9" s="6">
        <f>COUNTIF(Prospects!H2:H500,"Audit sold")</f>
        <v/>
      </c>
    </row>
    <row r="10">
      <c r="A10" s="6" t="inlineStr">
        <is>
          <t>Client</t>
        </is>
      </c>
      <c r="B10" s="6">
        <f>COUNTIF(Prospects!H2:H500,"Client")</f>
        <v/>
      </c>
    </row>
    <row r="11">
      <c r="A11" s="6" t="inlineStr">
        <is>
          <t>Not interested</t>
        </is>
      </c>
      <c r="B11" s="6">
        <f>COUNTIF(Prospects!H2:H500,"Not interested")</f>
        <v/>
      </c>
    </row>
    <row r="14">
      <c r="A14" s="7" t="inlineStr">
        <is>
          <t>How to use</t>
        </is>
      </c>
    </row>
    <row r="15">
      <c r="A15" s="8" t="inlineStr">
        <is>
          <t>Fill white rows on the Prospects tab; row 2 is an example - delete it once you add real ones.</t>
        </is>
      </c>
    </row>
    <row r="16">
      <c r="A16" s="8" t="inlineStr">
        <is>
          <t>Status column has a dropdown. Dates as yyyy-mm-dd.</t>
        </is>
      </c>
    </row>
    <row r="17">
      <c r="A17" s="8" t="inlineStr">
        <is>
          <t>Column headers match HubSpot's default contact fields, so the import maps automatically:</t>
        </is>
      </c>
    </row>
    <row r="18">
      <c r="A18" s="8" t="inlineStr">
        <is>
          <t>HubSpot: Contacts -&gt; Import -&gt; Start import -&gt; upload this file (or File &gt; Save As CSV first).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2026-08-26T21:47:19Z</dcterms:created>
  <dcterms:modified xsi:type="dcterms:W3CDTF">2026-08-26T21:47:19Z</dcterms:modified>
</cp:coreProperties>
</file>